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xr:revisionPtr revIDLastSave="0" documentId="13_ncr:1_{684393D6-31E4-134B-9C82-CFBBC3205174}" xr6:coauthVersionLast="47" xr6:coauthVersionMax="47" xr10:uidLastSave="{00000000-0000-0000-0000-000000000000}"/>
  <bookViews>
    <workbookView xWindow="40760" yWindow="1120" windowWidth="40060" windowHeight="22720" xr2:uid="{A329B003-26FE-574A-A6A2-0B03C33B2F2A}"/>
  </bookViews>
  <sheets>
    <sheet name="counts" sheetId="1" r:id="rId1"/>
    <sheet name="vi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2" i="2"/>
  <c r="F2" i="2"/>
  <c r="E2" i="2"/>
  <c r="D2" i="2"/>
  <c r="C2" i="2"/>
  <c r="B2" i="2"/>
  <c r="A2" i="2"/>
  <c r="O10" i="1"/>
  <c r="Q10" i="1"/>
  <c r="Q11" i="1"/>
  <c r="Q12" i="1"/>
  <c r="Q13" i="1"/>
  <c r="Q14" i="1"/>
  <c r="Q15" i="1"/>
  <c r="P11" i="1"/>
  <c r="P12" i="1"/>
  <c r="P13" i="1"/>
  <c r="P14" i="1"/>
  <c r="P15" i="1"/>
  <c r="P10" i="1"/>
  <c r="Q16" i="1"/>
  <c r="Q17" i="1"/>
  <c r="P17" i="1"/>
  <c r="P16" i="1"/>
  <c r="M18" i="1" l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L19" i="1"/>
  <c r="L20" i="1"/>
  <c r="L21" i="1"/>
  <c r="L22" i="1"/>
  <c r="L23" i="1"/>
  <c r="L24" i="1"/>
  <c r="L25" i="1"/>
  <c r="L18" i="1"/>
  <c r="O11" i="1"/>
  <c r="O12" i="1"/>
  <c r="O13" i="1"/>
  <c r="O14" i="1"/>
  <c r="O15" i="1"/>
  <c r="N11" i="1"/>
  <c r="N12" i="1"/>
  <c r="N13" i="1"/>
  <c r="N14" i="1"/>
  <c r="N15" i="1"/>
  <c r="N10" i="1"/>
  <c r="N16" i="1"/>
  <c r="O16" i="1"/>
  <c r="N17" i="1"/>
  <c r="O17" i="1"/>
  <c r="M16" i="1"/>
  <c r="M17" i="1"/>
  <c r="L17" i="1"/>
  <c r="L16" i="1"/>
  <c r="M10" i="1"/>
  <c r="M11" i="1"/>
  <c r="M12" i="1"/>
  <c r="M13" i="1"/>
  <c r="M14" i="1"/>
  <c r="M15" i="1"/>
  <c r="L11" i="1"/>
  <c r="L12" i="1"/>
  <c r="L13" i="1"/>
  <c r="L14" i="1"/>
  <c r="L15" i="1"/>
  <c r="L10" i="1"/>
  <c r="K10" i="1" l="1"/>
  <c r="K11" i="1"/>
  <c r="K12" i="1"/>
  <c r="K13" i="1"/>
  <c r="K14" i="1"/>
  <c r="K15" i="1"/>
  <c r="K16" i="1"/>
  <c r="K17" i="1"/>
  <c r="J11" i="1"/>
  <c r="J12" i="1"/>
  <c r="J13" i="1"/>
  <c r="J14" i="1"/>
  <c r="J15" i="1"/>
  <c r="J16" i="1"/>
  <c r="J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E24" i="1"/>
  <c r="F24" i="1"/>
  <c r="G24" i="1"/>
  <c r="H24" i="1"/>
  <c r="I24" i="1"/>
  <c r="D25" i="1"/>
  <c r="E25" i="1"/>
  <c r="F25" i="1"/>
  <c r="G25" i="1"/>
  <c r="H25" i="1"/>
  <c r="I25" i="1"/>
  <c r="K18" i="1"/>
  <c r="K19" i="1"/>
  <c r="K20" i="1"/>
  <c r="K21" i="1"/>
  <c r="K22" i="1"/>
  <c r="K23" i="1"/>
  <c r="K24" i="1"/>
  <c r="K25" i="1"/>
  <c r="J19" i="1"/>
  <c r="J20" i="1"/>
  <c r="J21" i="1"/>
  <c r="J22" i="1"/>
  <c r="J23" i="1"/>
  <c r="J24" i="1"/>
  <c r="J25" i="1"/>
  <c r="J18" i="1"/>
  <c r="J10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E10" i="1"/>
  <c r="E11" i="1"/>
  <c r="E12" i="1"/>
  <c r="E13" i="1"/>
  <c r="E14" i="1"/>
  <c r="E15" i="1"/>
  <c r="E16" i="1"/>
  <c r="E17" i="1"/>
  <c r="D11" i="1"/>
  <c r="D12" i="1"/>
  <c r="D13" i="1"/>
  <c r="D14" i="1"/>
  <c r="D15" i="1"/>
  <c r="D16" i="1"/>
  <c r="D17" i="1"/>
  <c r="D10" i="1"/>
</calcChain>
</file>

<file path=xl/sharedStrings.xml><?xml version="1.0" encoding="utf-8"?>
<sst xmlns="http://schemas.openxmlformats.org/spreadsheetml/2006/main" count="76" uniqueCount="34">
  <si>
    <t>Condition</t>
  </si>
  <si>
    <t>0hr</t>
  </si>
  <si>
    <t>.410M</t>
  </si>
  <si>
    <t>DMSO</t>
  </si>
  <si>
    <t>4hr total</t>
  </si>
  <si>
    <t>4hr viable</t>
  </si>
  <si>
    <t>Dilution corrected</t>
  </si>
  <si>
    <t>uL per 30k</t>
  </si>
  <si>
    <t>8hr total</t>
  </si>
  <si>
    <t>8hr viable</t>
  </si>
  <si>
    <t>Rep</t>
  </si>
  <si>
    <t>a</t>
  </si>
  <si>
    <t>b</t>
  </si>
  <si>
    <t>TAZ</t>
  </si>
  <si>
    <t>EED</t>
  </si>
  <si>
    <t>UTX</t>
  </si>
  <si>
    <t>24hr total</t>
  </si>
  <si>
    <t>24hr viable</t>
  </si>
  <si>
    <t>48 hr total</t>
  </si>
  <si>
    <t>48 hr viable</t>
  </si>
  <si>
    <t>4hr viability</t>
  </si>
  <si>
    <t>8hr viability</t>
  </si>
  <si>
    <t>24hr viability</t>
  </si>
  <si>
    <t>48hr viability</t>
  </si>
  <si>
    <t>79 hr total</t>
  </si>
  <si>
    <t>79 hr viable</t>
  </si>
  <si>
    <t>96 hr viable</t>
  </si>
  <si>
    <t>96 hr total</t>
  </si>
  <si>
    <t>79hr viability</t>
  </si>
  <si>
    <t>96hr viability</t>
  </si>
  <si>
    <t>171hr total</t>
  </si>
  <si>
    <t>171hr viable</t>
  </si>
  <si>
    <t>171hr viability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</si>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</sst>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1" xfId="0" applyBorder="1"/>
    <xf numFmtId="0" fontId="1" fillId="0" borderId="1" xfId="0" applyFont="1" applyBorder="1"/>
    <xf numFmtId="164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2CF9-2E5B-E24B-A34A-1364A2CEAAD4}">
  <dimension ref="A1:Q26"/>
  <sheetViews>
    <sheetView tabSelected="1" workbookViewId="0">
      <selection activeCell="B10" sqref="B10:Q15"/>
    </sheetView>
  </sheetViews>
  <sheetFormatPr baseColWidth="10" defaultRowHeight="16" x14ac:dyDescent="0.2"/>
  <cols>
    <col min="1" max="1" width="16" bestFit="1" customWidth="1"/>
    <col min="4" max="5" width="11.6640625" bestFit="1" customWidth="1"/>
    <col min="12" max="13" width="10.5" bestFit="1" customWidth="1"/>
    <col min="14" max="15" width="11.5" bestFit="1" customWidth="1"/>
    <col min="16" max="17" width="11.5" customWidth="1"/>
    <col min="19" max="20" width="10.5" bestFit="1" customWidth="1"/>
    <col min="21" max="23" width="11.5" bestFit="1" customWidth="1"/>
  </cols>
  <sheetData>
    <row r="1" spans="1:17" s="2" customFormat="1" x14ac:dyDescent="0.2">
      <c r="A1" s="2" t="s">
        <v>1</v>
      </c>
      <c r="B1" s="2" t="s">
        <v>0</v>
      </c>
      <c r="C1" s="2" t="s">
        <v>10</v>
      </c>
      <c r="D1" s="2" t="s">
        <v>4</v>
      </c>
      <c r="E1" s="2" t="s">
        <v>5</v>
      </c>
      <c r="F1" s="2" t="s">
        <v>8</v>
      </c>
      <c r="G1" s="2" t="s">
        <v>9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24</v>
      </c>
      <c r="M1" s="2" t="s">
        <v>25</v>
      </c>
      <c r="N1" s="2" t="s">
        <v>27</v>
      </c>
      <c r="O1" s="2" t="s">
        <v>26</v>
      </c>
      <c r="P1" s="2" t="s">
        <v>30</v>
      </c>
      <c r="Q1" s="2" t="s">
        <v>31</v>
      </c>
    </row>
    <row r="2" spans="1:17" x14ac:dyDescent="0.2">
      <c r="A2" t="s">
        <v>2</v>
      </c>
      <c r="B2" t="s">
        <v>3</v>
      </c>
      <c r="C2" t="s">
        <v>11</v>
      </c>
      <c r="D2">
        <v>0.24199999999999999</v>
      </c>
      <c r="E2">
        <v>0.23899999999999999</v>
      </c>
      <c r="F2">
        <v>0.29799999999999999</v>
      </c>
      <c r="G2">
        <v>0.29399999999999998</v>
      </c>
      <c r="H2">
        <v>0.42699999999999999</v>
      </c>
      <c r="I2">
        <v>0.42299999999999999</v>
      </c>
      <c r="J2">
        <v>0.373</v>
      </c>
      <c r="K2">
        <v>0.36899999999999999</v>
      </c>
      <c r="L2">
        <v>0.60099999999999998</v>
      </c>
      <c r="M2">
        <v>0.58199999999999996</v>
      </c>
      <c r="N2">
        <v>0.51800000000000002</v>
      </c>
      <c r="O2">
        <v>0.501</v>
      </c>
      <c r="P2">
        <v>0.44700000000000001</v>
      </c>
      <c r="Q2">
        <v>0.38800000000000001</v>
      </c>
    </row>
    <row r="3" spans="1:17" x14ac:dyDescent="0.2">
      <c r="B3" t="s">
        <v>3</v>
      </c>
      <c r="C3" t="s">
        <v>12</v>
      </c>
      <c r="D3">
        <v>0.247</v>
      </c>
      <c r="E3">
        <v>0.24199999999999999</v>
      </c>
      <c r="F3">
        <v>0.25900000000000001</v>
      </c>
      <c r="G3">
        <v>0.25600000000000001</v>
      </c>
      <c r="H3">
        <v>0.38500000000000001</v>
      </c>
      <c r="I3">
        <v>0.38100000000000001</v>
      </c>
      <c r="J3">
        <v>0.35199999999999998</v>
      </c>
      <c r="K3">
        <v>0.34699999999999998</v>
      </c>
      <c r="L3">
        <v>0.57399999999999995</v>
      </c>
      <c r="M3">
        <v>0.55600000000000005</v>
      </c>
      <c r="N3">
        <v>0.45500000000000002</v>
      </c>
      <c r="O3">
        <v>0.437</v>
      </c>
      <c r="P3">
        <v>0.40100000000000002</v>
      </c>
      <c r="Q3">
        <v>0.35499999999999998</v>
      </c>
    </row>
    <row r="4" spans="1:17" x14ac:dyDescent="0.2">
      <c r="B4" t="s">
        <v>13</v>
      </c>
      <c r="C4" t="s">
        <v>11</v>
      </c>
      <c r="D4">
        <v>0.223</v>
      </c>
      <c r="E4">
        <v>0.217</v>
      </c>
      <c r="F4">
        <v>0.26300000000000001</v>
      </c>
      <c r="G4">
        <v>0.25800000000000001</v>
      </c>
      <c r="H4">
        <v>0.39</v>
      </c>
      <c r="I4">
        <v>0.38200000000000001</v>
      </c>
      <c r="J4">
        <v>0.35699999999999998</v>
      </c>
      <c r="K4">
        <v>0.34699999999999998</v>
      </c>
      <c r="L4">
        <v>0.53700000000000003</v>
      </c>
      <c r="M4">
        <v>0.51500000000000001</v>
      </c>
      <c r="N4">
        <v>0.38500000000000001</v>
      </c>
      <c r="O4">
        <v>0.35899999999999999</v>
      </c>
      <c r="P4">
        <v>0.41099999999999998</v>
      </c>
      <c r="Q4">
        <v>0.376</v>
      </c>
    </row>
    <row r="5" spans="1:17" x14ac:dyDescent="0.2">
      <c r="B5" t="s">
        <v>13</v>
      </c>
      <c r="C5" t="s">
        <v>12</v>
      </c>
      <c r="D5">
        <v>0.246</v>
      </c>
      <c r="E5">
        <v>0.24199999999999999</v>
      </c>
      <c r="F5">
        <v>0.27400000000000002</v>
      </c>
      <c r="G5">
        <v>0.26900000000000002</v>
      </c>
      <c r="H5">
        <v>0.40899999999999997</v>
      </c>
      <c r="I5">
        <v>0.40400000000000003</v>
      </c>
      <c r="J5">
        <v>0.318</v>
      </c>
      <c r="K5">
        <v>0.307</v>
      </c>
      <c r="L5">
        <v>0.56200000000000006</v>
      </c>
      <c r="M5">
        <v>0.53300000000000003</v>
      </c>
      <c r="N5">
        <v>0.38700000000000001</v>
      </c>
      <c r="O5">
        <v>0.36399999999999999</v>
      </c>
      <c r="P5">
        <v>0.44700000000000001</v>
      </c>
      <c r="Q5">
        <v>0.41299999999999998</v>
      </c>
    </row>
    <row r="6" spans="1:17" x14ac:dyDescent="0.2">
      <c r="B6" t="s">
        <v>14</v>
      </c>
      <c r="C6" t="s">
        <v>11</v>
      </c>
      <c r="D6">
        <v>0.22500000000000001</v>
      </c>
      <c r="E6">
        <v>0.221</v>
      </c>
      <c r="F6">
        <v>0.254</v>
      </c>
      <c r="G6">
        <v>0.25</v>
      </c>
      <c r="H6">
        <v>0.40899999999999997</v>
      </c>
      <c r="I6">
        <v>0.40300000000000002</v>
      </c>
      <c r="J6">
        <v>0.34399999999999997</v>
      </c>
      <c r="K6">
        <v>0.33500000000000002</v>
      </c>
      <c r="L6">
        <v>0.55300000000000005</v>
      </c>
      <c r="M6">
        <v>0.53200000000000003</v>
      </c>
      <c r="N6">
        <v>0.44800000000000001</v>
      </c>
      <c r="O6">
        <v>0.42499999999999999</v>
      </c>
      <c r="P6">
        <v>0.499</v>
      </c>
      <c r="Q6">
        <v>0.46200000000000002</v>
      </c>
    </row>
    <row r="7" spans="1:17" x14ac:dyDescent="0.2">
      <c r="B7" t="s">
        <v>14</v>
      </c>
      <c r="C7" t="s">
        <v>12</v>
      </c>
      <c r="D7">
        <v>0.248</v>
      </c>
      <c r="E7">
        <v>0.24</v>
      </c>
      <c r="F7">
        <v>0.27</v>
      </c>
      <c r="G7">
        <v>0.26100000000000001</v>
      </c>
      <c r="H7">
        <v>0.38900000000000001</v>
      </c>
      <c r="I7">
        <v>0.38</v>
      </c>
      <c r="J7">
        <v>0.36499999999999999</v>
      </c>
      <c r="K7">
        <v>0.35599999999999998</v>
      </c>
      <c r="L7">
        <v>0.54300000000000004</v>
      </c>
      <c r="M7">
        <v>0.52300000000000002</v>
      </c>
      <c r="N7">
        <v>0.38800000000000001</v>
      </c>
      <c r="O7">
        <v>0.36899999999999999</v>
      </c>
      <c r="P7">
        <v>0.51900000000000002</v>
      </c>
      <c r="Q7">
        <v>0.48099999999999998</v>
      </c>
    </row>
    <row r="8" spans="1:17" x14ac:dyDescent="0.2">
      <c r="B8" t="s">
        <v>15</v>
      </c>
      <c r="C8" t="s">
        <v>11</v>
      </c>
      <c r="D8">
        <v>0.24399999999999999</v>
      </c>
      <c r="E8">
        <v>0.23899999999999999</v>
      </c>
      <c r="F8">
        <v>0.24099999999999999</v>
      </c>
      <c r="G8">
        <v>0.23499999999999999</v>
      </c>
      <c r="H8">
        <v>0.29199999999999998</v>
      </c>
      <c r="I8">
        <v>0.28899999999999998</v>
      </c>
      <c r="J8">
        <v>0.14399999999999999</v>
      </c>
      <c r="K8">
        <v>0.13700000000000001</v>
      </c>
      <c r="L8">
        <v>0.25900000000000001</v>
      </c>
      <c r="M8">
        <v>0.20399999999999999</v>
      </c>
      <c r="N8">
        <v>0.3</v>
      </c>
      <c r="O8">
        <v>0.161</v>
      </c>
      <c r="P8">
        <v>0.11799999999999999</v>
      </c>
      <c r="Q8">
        <v>0.01</v>
      </c>
    </row>
    <row r="9" spans="1:17" s="2" customFormat="1" x14ac:dyDescent="0.2">
      <c r="B9" s="2" t="s">
        <v>15</v>
      </c>
      <c r="C9" s="2" t="s">
        <v>12</v>
      </c>
      <c r="D9" s="2">
        <v>0.19900000000000001</v>
      </c>
      <c r="E9" s="2">
        <v>0.19500000000000001</v>
      </c>
      <c r="F9" s="2">
        <v>0.23200000000000001</v>
      </c>
      <c r="G9" s="2">
        <v>0.22900000000000001</v>
      </c>
      <c r="H9" s="2">
        <v>0.27800000000000002</v>
      </c>
      <c r="I9" s="2">
        <v>0.27700000000000002</v>
      </c>
      <c r="J9" s="2">
        <v>0.14000000000000001</v>
      </c>
      <c r="K9" s="2">
        <v>0.13200000000000001</v>
      </c>
      <c r="L9" s="2">
        <v>0.27200000000000002</v>
      </c>
      <c r="M9" s="2">
        <v>0.21</v>
      </c>
      <c r="N9" s="2">
        <v>0.28299999999999997</v>
      </c>
      <c r="O9" s="2">
        <v>0.16400000000000001</v>
      </c>
      <c r="P9" s="2">
        <v>0.125</v>
      </c>
      <c r="Q9" s="2">
        <v>1.0999999999999999E-2</v>
      </c>
    </row>
    <row r="10" spans="1:17" x14ac:dyDescent="0.2">
      <c r="A10" t="s">
        <v>6</v>
      </c>
      <c r="B10" t="s">
        <v>3</v>
      </c>
      <c r="C10" t="s">
        <v>11</v>
      </c>
      <c r="D10">
        <f>D2*2</f>
        <v>0.48399999999999999</v>
      </c>
      <c r="E10">
        <f>E2*2</f>
        <v>0.47799999999999998</v>
      </c>
      <c r="F10">
        <f>F2*2</f>
        <v>0.59599999999999997</v>
      </c>
      <c r="G10">
        <f t="shared" ref="G10:I10" si="0">G2*2</f>
        <v>0.58799999999999997</v>
      </c>
      <c r="H10">
        <f t="shared" si="0"/>
        <v>0.85399999999999998</v>
      </c>
      <c r="I10">
        <f t="shared" si="0"/>
        <v>0.84599999999999997</v>
      </c>
      <c r="J10">
        <f>J2*4</f>
        <v>1.492</v>
      </c>
      <c r="K10">
        <f>K2*4</f>
        <v>1.476</v>
      </c>
      <c r="L10">
        <f>L2*4</f>
        <v>2.4039999999999999</v>
      </c>
      <c r="M10">
        <f>M2*4</f>
        <v>2.3279999999999998</v>
      </c>
      <c r="N10">
        <f>N2*8</f>
        <v>4.1440000000000001</v>
      </c>
      <c r="O10">
        <f>O2*8</f>
        <v>4.008</v>
      </c>
      <c r="P10">
        <f>P2*8*4</f>
        <v>14.304</v>
      </c>
      <c r="Q10">
        <f>Q2*8*4</f>
        <v>12.416</v>
      </c>
    </row>
    <row r="11" spans="1:17" x14ac:dyDescent="0.2">
      <c r="B11" t="s">
        <v>3</v>
      </c>
      <c r="C11" t="s">
        <v>12</v>
      </c>
      <c r="D11">
        <f t="shared" ref="D11:E17" si="1">D3*2</f>
        <v>0.49399999999999999</v>
      </c>
      <c r="E11">
        <f t="shared" si="1"/>
        <v>0.48399999999999999</v>
      </c>
      <c r="F11">
        <f t="shared" ref="F11:G11" si="2">F3*2</f>
        <v>0.51800000000000002</v>
      </c>
      <c r="G11">
        <f t="shared" si="2"/>
        <v>0.51200000000000001</v>
      </c>
      <c r="H11">
        <f t="shared" ref="H11:I11" si="3">H3*2</f>
        <v>0.77</v>
      </c>
      <c r="I11">
        <f t="shared" si="3"/>
        <v>0.76200000000000001</v>
      </c>
      <c r="J11">
        <f t="shared" ref="J11:L17" si="4">J3*4</f>
        <v>1.4079999999999999</v>
      </c>
      <c r="K11">
        <f t="shared" si="4"/>
        <v>1.3879999999999999</v>
      </c>
      <c r="L11">
        <f t="shared" si="4"/>
        <v>2.2959999999999998</v>
      </c>
      <c r="M11">
        <f t="shared" ref="M11" si="5">M3*4</f>
        <v>2.2240000000000002</v>
      </c>
      <c r="N11">
        <f t="shared" ref="N11:O15" si="6">N3*8</f>
        <v>3.64</v>
      </c>
      <c r="O11">
        <f t="shared" si="6"/>
        <v>3.496</v>
      </c>
      <c r="P11">
        <f t="shared" ref="P11:Q15" si="7">P3*8*4</f>
        <v>12.832000000000001</v>
      </c>
      <c r="Q11">
        <f t="shared" si="7"/>
        <v>11.36</v>
      </c>
    </row>
    <row r="12" spans="1:17" x14ac:dyDescent="0.2">
      <c r="B12" t="s">
        <v>13</v>
      </c>
      <c r="C12" t="s">
        <v>11</v>
      </c>
      <c r="D12">
        <f t="shared" si="1"/>
        <v>0.44600000000000001</v>
      </c>
      <c r="E12">
        <f t="shared" si="1"/>
        <v>0.434</v>
      </c>
      <c r="F12">
        <f t="shared" ref="F12:G12" si="8">F4*2</f>
        <v>0.52600000000000002</v>
      </c>
      <c r="G12">
        <f t="shared" si="8"/>
        <v>0.51600000000000001</v>
      </c>
      <c r="H12">
        <f t="shared" ref="H12:I12" si="9">H4*2</f>
        <v>0.78</v>
      </c>
      <c r="I12">
        <f t="shared" si="9"/>
        <v>0.76400000000000001</v>
      </c>
      <c r="J12">
        <f t="shared" si="4"/>
        <v>1.4279999999999999</v>
      </c>
      <c r="K12">
        <f t="shared" si="4"/>
        <v>1.3879999999999999</v>
      </c>
      <c r="L12">
        <f t="shared" si="4"/>
        <v>2.1480000000000001</v>
      </c>
      <c r="M12">
        <f t="shared" ref="M12" si="10">M4*4</f>
        <v>2.06</v>
      </c>
      <c r="N12">
        <f t="shared" si="6"/>
        <v>3.08</v>
      </c>
      <c r="O12">
        <f t="shared" si="6"/>
        <v>2.8719999999999999</v>
      </c>
      <c r="P12">
        <f t="shared" si="7"/>
        <v>13.151999999999999</v>
      </c>
      <c r="Q12">
        <f t="shared" si="7"/>
        <v>12.032</v>
      </c>
    </row>
    <row r="13" spans="1:17" x14ac:dyDescent="0.2">
      <c r="B13" t="s">
        <v>13</v>
      </c>
      <c r="C13" t="s">
        <v>12</v>
      </c>
      <c r="D13">
        <f t="shared" si="1"/>
        <v>0.49199999999999999</v>
      </c>
      <c r="E13">
        <f t="shared" si="1"/>
        <v>0.48399999999999999</v>
      </c>
      <c r="F13">
        <f t="shared" ref="F13:G13" si="11">F5*2</f>
        <v>0.54800000000000004</v>
      </c>
      <c r="G13">
        <f t="shared" si="11"/>
        <v>0.53800000000000003</v>
      </c>
      <c r="H13">
        <f t="shared" ref="H13:I13" si="12">H5*2</f>
        <v>0.81799999999999995</v>
      </c>
      <c r="I13">
        <f t="shared" si="12"/>
        <v>0.80800000000000005</v>
      </c>
      <c r="J13">
        <f t="shared" si="4"/>
        <v>1.272</v>
      </c>
      <c r="K13">
        <f t="shared" si="4"/>
        <v>1.228</v>
      </c>
      <c r="L13">
        <f t="shared" si="4"/>
        <v>2.2480000000000002</v>
      </c>
      <c r="M13">
        <f t="shared" ref="M13" si="13">M5*4</f>
        <v>2.1320000000000001</v>
      </c>
      <c r="N13">
        <f t="shared" si="6"/>
        <v>3.0960000000000001</v>
      </c>
      <c r="O13">
        <f t="shared" si="6"/>
        <v>2.9119999999999999</v>
      </c>
      <c r="P13">
        <f t="shared" si="7"/>
        <v>14.304</v>
      </c>
      <c r="Q13">
        <f t="shared" si="7"/>
        <v>13.215999999999999</v>
      </c>
    </row>
    <row r="14" spans="1:17" x14ac:dyDescent="0.2">
      <c r="B14" t="s">
        <v>14</v>
      </c>
      <c r="C14" t="s">
        <v>11</v>
      </c>
      <c r="D14">
        <f t="shared" si="1"/>
        <v>0.45</v>
      </c>
      <c r="E14">
        <f t="shared" si="1"/>
        <v>0.442</v>
      </c>
      <c r="F14">
        <f t="shared" ref="F14:G14" si="14">F6*2</f>
        <v>0.50800000000000001</v>
      </c>
      <c r="G14">
        <f t="shared" si="14"/>
        <v>0.5</v>
      </c>
      <c r="H14">
        <f t="shared" ref="H14:I14" si="15">H6*2</f>
        <v>0.81799999999999995</v>
      </c>
      <c r="I14">
        <f t="shared" si="15"/>
        <v>0.80600000000000005</v>
      </c>
      <c r="J14">
        <f t="shared" si="4"/>
        <v>1.3759999999999999</v>
      </c>
      <c r="K14">
        <f t="shared" si="4"/>
        <v>1.34</v>
      </c>
      <c r="L14">
        <f t="shared" si="4"/>
        <v>2.2120000000000002</v>
      </c>
      <c r="M14">
        <f t="shared" ref="M14" si="16">M6*4</f>
        <v>2.1280000000000001</v>
      </c>
      <c r="N14">
        <f t="shared" si="6"/>
        <v>3.5840000000000001</v>
      </c>
      <c r="O14">
        <f t="shared" si="6"/>
        <v>3.4</v>
      </c>
      <c r="P14">
        <f t="shared" si="7"/>
        <v>15.968</v>
      </c>
      <c r="Q14">
        <f t="shared" si="7"/>
        <v>14.784000000000001</v>
      </c>
    </row>
    <row r="15" spans="1:17" x14ac:dyDescent="0.2">
      <c r="B15" t="s">
        <v>14</v>
      </c>
      <c r="C15" t="s">
        <v>12</v>
      </c>
      <c r="D15">
        <f t="shared" si="1"/>
        <v>0.496</v>
      </c>
      <c r="E15">
        <f t="shared" si="1"/>
        <v>0.48</v>
      </c>
      <c r="F15">
        <f t="shared" ref="F15:G15" si="17">F7*2</f>
        <v>0.54</v>
      </c>
      <c r="G15">
        <f t="shared" si="17"/>
        <v>0.52200000000000002</v>
      </c>
      <c r="H15">
        <f t="shared" ref="H15:I15" si="18">H7*2</f>
        <v>0.77800000000000002</v>
      </c>
      <c r="I15">
        <f t="shared" si="18"/>
        <v>0.76</v>
      </c>
      <c r="J15">
        <f t="shared" si="4"/>
        <v>1.46</v>
      </c>
      <c r="K15">
        <f t="shared" si="4"/>
        <v>1.4239999999999999</v>
      </c>
      <c r="L15">
        <f t="shared" si="4"/>
        <v>2.1720000000000002</v>
      </c>
      <c r="M15">
        <f t="shared" ref="M15" si="19">M7*4</f>
        <v>2.0920000000000001</v>
      </c>
      <c r="N15">
        <f t="shared" si="6"/>
        <v>3.1040000000000001</v>
      </c>
      <c r="O15">
        <f t="shared" si="6"/>
        <v>2.952</v>
      </c>
      <c r="P15">
        <f t="shared" si="7"/>
        <v>16.608000000000001</v>
      </c>
      <c r="Q15">
        <f t="shared" si="7"/>
        <v>15.391999999999999</v>
      </c>
    </row>
    <row r="16" spans="1:17" x14ac:dyDescent="0.2">
      <c r="B16" t="s">
        <v>15</v>
      </c>
      <c r="C16" t="s">
        <v>11</v>
      </c>
      <c r="D16">
        <f t="shared" si="1"/>
        <v>0.48799999999999999</v>
      </c>
      <c r="E16">
        <f t="shared" si="1"/>
        <v>0.47799999999999998</v>
      </c>
      <c r="F16">
        <f t="shared" ref="F16:G16" si="20">F8*2</f>
        <v>0.48199999999999998</v>
      </c>
      <c r="G16">
        <f t="shared" si="20"/>
        <v>0.47</v>
      </c>
      <c r="H16">
        <f t="shared" ref="H16:I16" si="21">H8*2</f>
        <v>0.58399999999999996</v>
      </c>
      <c r="I16">
        <f t="shared" si="21"/>
        <v>0.57799999999999996</v>
      </c>
      <c r="J16">
        <f t="shared" si="4"/>
        <v>0.57599999999999996</v>
      </c>
      <c r="K16">
        <f t="shared" si="4"/>
        <v>0.54800000000000004</v>
      </c>
      <c r="L16">
        <f>L8*2</f>
        <v>0.51800000000000002</v>
      </c>
      <c r="M16">
        <f>M8*2</f>
        <v>0.40799999999999997</v>
      </c>
      <c r="N16">
        <f t="shared" ref="N16:O16" si="22">N8*2</f>
        <v>0.6</v>
      </c>
      <c r="O16">
        <f t="shared" si="22"/>
        <v>0.32200000000000001</v>
      </c>
      <c r="P16">
        <f>P8*4</f>
        <v>0.47199999999999998</v>
      </c>
      <c r="Q16">
        <f>Q8*4</f>
        <v>0.04</v>
      </c>
    </row>
    <row r="17" spans="1:17" s="2" customFormat="1" x14ac:dyDescent="0.2">
      <c r="B17" s="2" t="s">
        <v>15</v>
      </c>
      <c r="C17" s="2" t="s">
        <v>12</v>
      </c>
      <c r="D17" s="2">
        <f t="shared" si="1"/>
        <v>0.39800000000000002</v>
      </c>
      <c r="E17" s="2">
        <f t="shared" si="1"/>
        <v>0.39</v>
      </c>
      <c r="F17" s="2">
        <f t="shared" ref="F17:G17" si="23">F9*2</f>
        <v>0.46400000000000002</v>
      </c>
      <c r="G17" s="2">
        <f t="shared" si="23"/>
        <v>0.45800000000000002</v>
      </c>
      <c r="H17" s="2">
        <f t="shared" ref="H17:I17" si="24">H9*2</f>
        <v>0.55600000000000005</v>
      </c>
      <c r="I17" s="2">
        <f t="shared" si="24"/>
        <v>0.55400000000000005</v>
      </c>
      <c r="J17" s="2">
        <f t="shared" si="4"/>
        <v>0.56000000000000005</v>
      </c>
      <c r="K17" s="2">
        <f t="shared" si="4"/>
        <v>0.52800000000000002</v>
      </c>
      <c r="L17" s="2">
        <f>L9*2</f>
        <v>0.54400000000000004</v>
      </c>
      <c r="M17" s="2">
        <f>M9*2</f>
        <v>0.42</v>
      </c>
      <c r="N17" s="2">
        <f t="shared" ref="N17:O17" si="25">N9*2</f>
        <v>0.56599999999999995</v>
      </c>
      <c r="O17" s="2">
        <f t="shared" si="25"/>
        <v>0.32800000000000001</v>
      </c>
      <c r="P17" s="2">
        <f>P9*4</f>
        <v>0.5</v>
      </c>
      <c r="Q17" s="2">
        <f>Q9*4</f>
        <v>4.3999999999999997E-2</v>
      </c>
    </row>
    <row r="18" spans="1:17" x14ac:dyDescent="0.2">
      <c r="A18" t="s">
        <v>7</v>
      </c>
      <c r="B18" t="s">
        <v>3</v>
      </c>
      <c r="C18" t="s">
        <v>11</v>
      </c>
      <c r="D18" s="1">
        <f t="shared" ref="D18:I18" si="26">0.025/(D2*2)*1000</f>
        <v>51.652892561983471</v>
      </c>
      <c r="E18" s="1">
        <f t="shared" si="26"/>
        <v>52.301255230125527</v>
      </c>
      <c r="F18" s="1">
        <f t="shared" si="26"/>
        <v>41.946308724832214</v>
      </c>
      <c r="G18" s="1">
        <f t="shared" si="26"/>
        <v>42.517006802721092</v>
      </c>
      <c r="H18" s="1">
        <f t="shared" si="26"/>
        <v>29.274004683840751</v>
      </c>
      <c r="I18" s="1">
        <f t="shared" si="26"/>
        <v>29.550827423167849</v>
      </c>
      <c r="J18" s="1">
        <f>0.025/(J2*2)*1000</f>
        <v>33.512064343163537</v>
      </c>
      <c r="K18" s="1">
        <f>0.025/(K2*2)*1000</f>
        <v>33.875338753387538</v>
      </c>
      <c r="L18" s="1">
        <f>0.025/(L2)*1000</f>
        <v>41.597337770382701</v>
      </c>
      <c r="M18" s="1">
        <f t="shared" ref="M18:O18" si="27">0.025/(M2)*1000</f>
        <v>42.955326460481103</v>
      </c>
      <c r="N18" s="1">
        <f t="shared" si="27"/>
        <v>48.262548262548265</v>
      </c>
      <c r="O18" s="1">
        <f t="shared" si="27"/>
        <v>49.900199600798402</v>
      </c>
      <c r="P18" s="1"/>
      <c r="Q18" s="1"/>
    </row>
    <row r="19" spans="1:17" x14ac:dyDescent="0.2">
      <c r="B19" t="s">
        <v>3</v>
      </c>
      <c r="C19" t="s">
        <v>12</v>
      </c>
      <c r="D19" s="1">
        <f t="shared" ref="D19:I19" si="28">0.025/(D3*2)*1000</f>
        <v>50.607287449392722</v>
      </c>
      <c r="E19" s="1">
        <f t="shared" si="28"/>
        <v>51.652892561983471</v>
      </c>
      <c r="F19" s="1">
        <f t="shared" si="28"/>
        <v>48.262548262548265</v>
      </c>
      <c r="G19" s="1">
        <f t="shared" si="28"/>
        <v>48.828125</v>
      </c>
      <c r="H19" s="1">
        <f t="shared" si="28"/>
        <v>32.467532467532472</v>
      </c>
      <c r="I19" s="1">
        <f t="shared" si="28"/>
        <v>32.808398950131235</v>
      </c>
      <c r="J19" s="1">
        <f t="shared" ref="J19:K25" si="29">0.025/(J3*2)*1000</f>
        <v>35.51136363636364</v>
      </c>
      <c r="K19" s="1">
        <f t="shared" si="29"/>
        <v>36.023054755043233</v>
      </c>
      <c r="L19" s="1">
        <f t="shared" ref="L19:O25" si="30">0.025/(L3)*1000</f>
        <v>43.554006968641119</v>
      </c>
      <c r="M19" s="1">
        <f t="shared" si="30"/>
        <v>44.964028776978417</v>
      </c>
      <c r="N19" s="1">
        <f t="shared" si="30"/>
        <v>54.945054945054942</v>
      </c>
      <c r="O19" s="1">
        <f t="shared" si="30"/>
        <v>57.208237986270028</v>
      </c>
      <c r="P19" s="1"/>
      <c r="Q19" s="1"/>
    </row>
    <row r="20" spans="1:17" x14ac:dyDescent="0.2">
      <c r="B20" t="s">
        <v>13</v>
      </c>
      <c r="C20" t="s">
        <v>11</v>
      </c>
      <c r="D20" s="1">
        <f t="shared" ref="D20:I20" si="31">0.025/(D4*2)*1000</f>
        <v>56.053811659192824</v>
      </c>
      <c r="E20" s="1">
        <f t="shared" si="31"/>
        <v>57.603686635944698</v>
      </c>
      <c r="F20" s="1">
        <f t="shared" si="31"/>
        <v>47.528517110266165</v>
      </c>
      <c r="G20" s="1">
        <f t="shared" si="31"/>
        <v>48.44961240310078</v>
      </c>
      <c r="H20" s="1">
        <f t="shared" si="31"/>
        <v>32.051282051282058</v>
      </c>
      <c r="I20" s="1">
        <f t="shared" si="31"/>
        <v>32.722513089005233</v>
      </c>
      <c r="J20" s="1">
        <f t="shared" si="29"/>
        <v>35.0140056022409</v>
      </c>
      <c r="K20" s="1">
        <f t="shared" si="29"/>
        <v>36.023054755043233</v>
      </c>
      <c r="L20" s="1">
        <f t="shared" si="30"/>
        <v>46.554934823091244</v>
      </c>
      <c r="M20" s="1">
        <f t="shared" si="30"/>
        <v>48.543689320388346</v>
      </c>
      <c r="N20" s="1">
        <f t="shared" si="30"/>
        <v>64.935064935064943</v>
      </c>
      <c r="O20" s="1">
        <f t="shared" si="30"/>
        <v>69.637883008356553</v>
      </c>
      <c r="P20" s="1"/>
      <c r="Q20" s="1"/>
    </row>
    <row r="21" spans="1:17" x14ac:dyDescent="0.2">
      <c r="B21" t="s">
        <v>13</v>
      </c>
      <c r="C21" t="s">
        <v>12</v>
      </c>
      <c r="D21" s="1">
        <f t="shared" ref="D21:I21" si="32">0.025/(D5*2)*1000</f>
        <v>50.813008130081307</v>
      </c>
      <c r="E21" s="1">
        <f t="shared" si="32"/>
        <v>51.652892561983471</v>
      </c>
      <c r="F21" s="1">
        <f t="shared" si="32"/>
        <v>45.620437956204377</v>
      </c>
      <c r="G21" s="1">
        <f t="shared" si="32"/>
        <v>46.468401486988846</v>
      </c>
      <c r="H21" s="1">
        <f t="shared" si="32"/>
        <v>30.562347188264059</v>
      </c>
      <c r="I21" s="1">
        <f t="shared" si="32"/>
        <v>30.940594059405939</v>
      </c>
      <c r="J21" s="1">
        <f t="shared" si="29"/>
        <v>39.308176100628927</v>
      </c>
      <c r="K21" s="1">
        <f t="shared" si="29"/>
        <v>40.716612377850169</v>
      </c>
      <c r="L21" s="1">
        <f t="shared" si="30"/>
        <v>44.483985765124551</v>
      </c>
      <c r="M21" s="1">
        <f t="shared" si="30"/>
        <v>46.90431519699812</v>
      </c>
      <c r="N21" s="1">
        <f t="shared" si="30"/>
        <v>64.599483204134373</v>
      </c>
      <c r="O21" s="1">
        <f t="shared" si="30"/>
        <v>68.681318681318686</v>
      </c>
      <c r="P21" s="1"/>
      <c r="Q21" s="1"/>
    </row>
    <row r="22" spans="1:17" x14ac:dyDescent="0.2">
      <c r="B22" t="s">
        <v>14</v>
      </c>
      <c r="C22" t="s">
        <v>11</v>
      </c>
      <c r="D22" s="1">
        <f t="shared" ref="D22:I22" si="33">0.025/(D6*2)*1000</f>
        <v>55.555555555555557</v>
      </c>
      <c r="E22" s="1">
        <f t="shared" si="33"/>
        <v>56.561085972850677</v>
      </c>
      <c r="F22" s="1">
        <f t="shared" si="33"/>
        <v>49.212598425196852</v>
      </c>
      <c r="G22" s="1">
        <f t="shared" si="33"/>
        <v>50</v>
      </c>
      <c r="H22" s="1">
        <f t="shared" si="33"/>
        <v>30.562347188264059</v>
      </c>
      <c r="I22" s="1">
        <f t="shared" si="33"/>
        <v>31.017369727047146</v>
      </c>
      <c r="J22" s="1">
        <f t="shared" si="29"/>
        <v>36.337209302325583</v>
      </c>
      <c r="K22" s="1">
        <f t="shared" si="29"/>
        <v>37.31343283582089</v>
      </c>
      <c r="L22" s="1">
        <f t="shared" si="30"/>
        <v>45.207956600361662</v>
      </c>
      <c r="M22" s="1">
        <f t="shared" si="30"/>
        <v>46.992481203007515</v>
      </c>
      <c r="N22" s="1">
        <f t="shared" si="30"/>
        <v>55.803571428571431</v>
      </c>
      <c r="O22" s="1">
        <f t="shared" si="30"/>
        <v>58.82352941176471</v>
      </c>
      <c r="P22" s="1"/>
      <c r="Q22" s="1"/>
    </row>
    <row r="23" spans="1:17" x14ac:dyDescent="0.2">
      <c r="B23" t="s">
        <v>14</v>
      </c>
      <c r="C23" t="s">
        <v>12</v>
      </c>
      <c r="D23" s="1">
        <f t="shared" ref="D23:I23" si="34">0.025/(D7*2)*1000</f>
        <v>50.403225806451616</v>
      </c>
      <c r="E23" s="1">
        <f t="shared" si="34"/>
        <v>52.083333333333336</v>
      </c>
      <c r="F23" s="1">
        <f t="shared" si="34"/>
        <v>46.296296296296291</v>
      </c>
      <c r="G23" s="1">
        <f t="shared" si="34"/>
        <v>47.892720306513411</v>
      </c>
      <c r="H23" s="1">
        <f t="shared" si="34"/>
        <v>32.133676092544988</v>
      </c>
      <c r="I23" s="1">
        <f t="shared" si="34"/>
        <v>32.89473684210526</v>
      </c>
      <c r="J23" s="1">
        <f t="shared" si="29"/>
        <v>34.246575342465761</v>
      </c>
      <c r="K23" s="1">
        <f t="shared" si="29"/>
        <v>35.112359550561798</v>
      </c>
      <c r="L23" s="1">
        <f t="shared" si="30"/>
        <v>46.040515653775323</v>
      </c>
      <c r="M23" s="1">
        <f t="shared" si="30"/>
        <v>47.801147227533463</v>
      </c>
      <c r="N23" s="1">
        <f t="shared" si="30"/>
        <v>64.432989690721655</v>
      </c>
      <c r="O23" s="1">
        <f t="shared" si="30"/>
        <v>67.750677506775077</v>
      </c>
      <c r="P23" s="1"/>
      <c r="Q23" s="1"/>
    </row>
    <row r="24" spans="1:17" x14ac:dyDescent="0.2">
      <c r="B24" t="s">
        <v>15</v>
      </c>
      <c r="C24" t="s">
        <v>11</v>
      </c>
      <c r="D24" s="1">
        <f t="shared" ref="D24:I24" si="35">0.025/(D8*2)*1000</f>
        <v>51.229508196721312</v>
      </c>
      <c r="E24" s="1">
        <f t="shared" si="35"/>
        <v>52.301255230125527</v>
      </c>
      <c r="F24" s="1">
        <f t="shared" si="35"/>
        <v>51.867219917012449</v>
      </c>
      <c r="G24" s="1">
        <f t="shared" si="35"/>
        <v>53.191489361702132</v>
      </c>
      <c r="H24" s="1">
        <f t="shared" si="35"/>
        <v>42.808219178082197</v>
      </c>
      <c r="I24" s="1">
        <f t="shared" si="35"/>
        <v>43.252595155709344</v>
      </c>
      <c r="J24" s="1">
        <f t="shared" si="29"/>
        <v>86.805555555555571</v>
      </c>
      <c r="K24" s="1">
        <f t="shared" si="29"/>
        <v>91.240875912408754</v>
      </c>
      <c r="L24" s="1">
        <f t="shared" si="30"/>
        <v>96.525096525096529</v>
      </c>
      <c r="M24" s="1">
        <f t="shared" si="30"/>
        <v>122.54901960784315</v>
      </c>
      <c r="N24" s="1">
        <f t="shared" si="30"/>
        <v>83.333333333333343</v>
      </c>
      <c r="O24" s="1">
        <f t="shared" si="30"/>
        <v>155.27950310559007</v>
      </c>
      <c r="P24" s="1"/>
      <c r="Q24" s="1"/>
    </row>
    <row r="25" spans="1:17" x14ac:dyDescent="0.2">
      <c r="B25" s="2" t="s">
        <v>15</v>
      </c>
      <c r="C25" t="s">
        <v>12</v>
      </c>
      <c r="D25" s="1">
        <f t="shared" ref="D25:I25" si="36">0.025/(D9*2)*1000</f>
        <v>62.814070351758787</v>
      </c>
      <c r="E25" s="1">
        <f t="shared" si="36"/>
        <v>64.102564102564116</v>
      </c>
      <c r="F25" s="1">
        <f t="shared" si="36"/>
        <v>53.879310344827587</v>
      </c>
      <c r="G25" s="1">
        <f t="shared" si="36"/>
        <v>54.585152838427952</v>
      </c>
      <c r="H25" s="1">
        <f t="shared" si="36"/>
        <v>44.964028776978417</v>
      </c>
      <c r="I25" s="1">
        <f t="shared" si="36"/>
        <v>45.126353790613713</v>
      </c>
      <c r="J25" s="1">
        <f t="shared" si="29"/>
        <v>89.285714285714292</v>
      </c>
      <c r="K25" s="1">
        <f t="shared" si="29"/>
        <v>94.696969696969703</v>
      </c>
      <c r="L25" s="1">
        <f t="shared" si="30"/>
        <v>91.911764705882348</v>
      </c>
      <c r="M25" s="1">
        <f t="shared" si="30"/>
        <v>119.04761904761905</v>
      </c>
      <c r="N25" s="1">
        <f t="shared" si="30"/>
        <v>88.339222614841006</v>
      </c>
      <c r="O25" s="1">
        <f t="shared" si="30"/>
        <v>152.4390243902439</v>
      </c>
      <c r="P25" s="1"/>
      <c r="Q25" s="1"/>
    </row>
    <row r="26" spans="1:17" x14ac:dyDescent="0.2">
      <c r="A26" t="s">
        <v>33</v>
      </c>
      <c r="E26">
        <v>4</v>
      </c>
      <c r="G26">
        <v>8</v>
      </c>
      <c r="I26">
        <v>24</v>
      </c>
      <c r="K26">
        <v>48</v>
      </c>
      <c r="M26">
        <v>79</v>
      </c>
      <c r="O26">
        <v>96</v>
      </c>
      <c r="Q26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BC6E-7978-DD4D-A786-39062FBE879B}">
  <dimension ref="A1:G9"/>
  <sheetViews>
    <sheetView workbookViewId="0">
      <selection activeCell="F49" sqref="F49"/>
    </sheetView>
  </sheetViews>
  <sheetFormatPr baseColWidth="10" defaultRowHeight="16" x14ac:dyDescent="0.2"/>
  <sheetData>
    <row r="1" spans="1:7" x14ac:dyDescent="0.2">
      <c r="A1" s="2" t="s">
        <v>20</v>
      </c>
      <c r="B1" s="2" t="s">
        <v>21</v>
      </c>
      <c r="C1" s="3" t="s">
        <v>22</v>
      </c>
      <c r="D1" s="3" t="s">
        <v>23</v>
      </c>
      <c r="E1" s="2" t="s">
        <v>28</v>
      </c>
      <c r="F1" s="2" t="s">
        <v>29</v>
      </c>
      <c r="G1" s="2" t="s">
        <v>32</v>
      </c>
    </row>
    <row r="2" spans="1:7" x14ac:dyDescent="0.2">
      <c r="A2" s="4">
        <f>counts!E2/counts!D2</f>
        <v>0.98760330578512401</v>
      </c>
      <c r="B2" s="4">
        <f>counts!G2/counts!F2</f>
        <v>0.98657718120805371</v>
      </c>
      <c r="C2" s="4">
        <f>counts!I2/counts!H2</f>
        <v>0.99063231850117095</v>
      </c>
      <c r="D2" s="4">
        <f>counts!K2/counts!J2</f>
        <v>0.98927613941018766</v>
      </c>
      <c r="E2" s="4">
        <f>counts!M2/counts!L2</f>
        <v>0.96838602329450907</v>
      </c>
      <c r="F2" s="4">
        <f>counts!O2/counts!N2</f>
        <v>0.96718146718146714</v>
      </c>
      <c r="G2" s="4">
        <f>counts!Q2/counts!P2</f>
        <v>0.8680089485458613</v>
      </c>
    </row>
    <row r="3" spans="1:7" x14ac:dyDescent="0.2">
      <c r="A3" s="4">
        <f>counts!E3/counts!D3</f>
        <v>0.97975708502024295</v>
      </c>
      <c r="B3" s="4">
        <f>counts!G3/counts!F3</f>
        <v>0.98841698841698844</v>
      </c>
      <c r="C3" s="4">
        <f>counts!I3/counts!H3</f>
        <v>0.98961038961038961</v>
      </c>
      <c r="D3" s="4">
        <f>counts!K3/counts!J3</f>
        <v>0.98579545454545459</v>
      </c>
      <c r="E3" s="4">
        <f>counts!M3/counts!L3</f>
        <v>0.96864111498257854</v>
      </c>
      <c r="F3" s="4">
        <f>counts!O3/counts!N3</f>
        <v>0.96043956043956036</v>
      </c>
      <c r="G3" s="4">
        <f>counts!Q3/counts!P3</f>
        <v>0.88528678304239394</v>
      </c>
    </row>
    <row r="4" spans="1:7" x14ac:dyDescent="0.2">
      <c r="A4" s="4">
        <f>counts!E4/counts!D4</f>
        <v>0.97309417040358737</v>
      </c>
      <c r="B4" s="4">
        <f>counts!G4/counts!F4</f>
        <v>0.98098859315589348</v>
      </c>
      <c r="C4" s="4">
        <f>counts!I4/counts!H4</f>
        <v>0.97948717948717945</v>
      </c>
      <c r="D4" s="4">
        <f>counts!K4/counts!J4</f>
        <v>0.97198879551820727</v>
      </c>
      <c r="E4" s="4">
        <f>counts!M4/counts!L4</f>
        <v>0.95903165735567963</v>
      </c>
      <c r="F4" s="4">
        <f>counts!O4/counts!N4</f>
        <v>0.93246753246753245</v>
      </c>
      <c r="G4" s="4">
        <f>counts!Q4/counts!P4</f>
        <v>0.9148418491484186</v>
      </c>
    </row>
    <row r="5" spans="1:7" x14ac:dyDescent="0.2">
      <c r="A5" s="4">
        <f>counts!E5/counts!D5</f>
        <v>0.98373983739837401</v>
      </c>
      <c r="B5" s="4">
        <f>counts!G5/counts!F5</f>
        <v>0.98175182481751821</v>
      </c>
      <c r="C5" s="4">
        <f>counts!I5/counts!H5</f>
        <v>0.98777506112469449</v>
      </c>
      <c r="D5" s="4">
        <f>counts!K5/counts!J5</f>
        <v>0.96540880503144655</v>
      </c>
      <c r="E5" s="4">
        <f>counts!M5/counts!L5</f>
        <v>0.94839857651245552</v>
      </c>
      <c r="F5" s="4">
        <f>counts!O5/counts!N5</f>
        <v>0.94056847545219635</v>
      </c>
      <c r="G5" s="4">
        <f>counts!Q5/counts!P5</f>
        <v>0.92393736017897088</v>
      </c>
    </row>
    <row r="6" spans="1:7" x14ac:dyDescent="0.2">
      <c r="A6" s="4">
        <f>counts!E6/counts!D6</f>
        <v>0.98222222222222222</v>
      </c>
      <c r="B6" s="4">
        <f>counts!G6/counts!F6</f>
        <v>0.98425196850393704</v>
      </c>
      <c r="C6" s="4">
        <f>counts!I6/counts!H6</f>
        <v>0.98533007334963341</v>
      </c>
      <c r="D6" s="4">
        <f>counts!K6/counts!J6</f>
        <v>0.97383720930232576</v>
      </c>
      <c r="E6" s="4">
        <f>counts!M6/counts!L6</f>
        <v>0.96202531645569622</v>
      </c>
      <c r="F6" s="4">
        <f>counts!O6/counts!N6</f>
        <v>0.94866071428571419</v>
      </c>
      <c r="G6" s="4">
        <f>counts!Q6/counts!P6</f>
        <v>0.92585170340681366</v>
      </c>
    </row>
    <row r="7" spans="1:7" x14ac:dyDescent="0.2">
      <c r="A7" s="4">
        <f>counts!E7/counts!D7</f>
        <v>0.96774193548387089</v>
      </c>
      <c r="B7" s="4">
        <f>counts!G7/counts!F7</f>
        <v>0.96666666666666667</v>
      </c>
      <c r="C7" s="4">
        <f>counts!I7/counts!H7</f>
        <v>0.9768637532133676</v>
      </c>
      <c r="D7" s="4">
        <f>counts!K7/counts!J7</f>
        <v>0.97534246575342465</v>
      </c>
      <c r="E7" s="4">
        <f>counts!M7/counts!L7</f>
        <v>0.96316758747697973</v>
      </c>
      <c r="F7" s="4">
        <f>counts!O7/counts!N7</f>
        <v>0.9510309278350515</v>
      </c>
      <c r="G7" s="4">
        <f>counts!Q7/counts!P7</f>
        <v>0.92678227360308274</v>
      </c>
    </row>
    <row r="8" spans="1:7" x14ac:dyDescent="0.2">
      <c r="A8" s="4">
        <f>counts!E8/counts!D8</f>
        <v>0.97950819672131151</v>
      </c>
      <c r="B8" s="4">
        <f>counts!G8/counts!F8</f>
        <v>0.975103734439834</v>
      </c>
      <c r="C8" s="4">
        <f>counts!I8/counts!H8</f>
        <v>0.98972602739726023</v>
      </c>
      <c r="D8" s="4">
        <f>counts!K8/counts!J8</f>
        <v>0.95138888888888906</v>
      </c>
      <c r="E8" s="4">
        <f>counts!M8/counts!L8</f>
        <v>0.78764478764478763</v>
      </c>
      <c r="F8" s="4">
        <f>counts!O8/counts!N8</f>
        <v>0.53666666666666674</v>
      </c>
      <c r="G8" s="4">
        <f>counts!Q8/counts!P8</f>
        <v>8.4745762711864417E-2</v>
      </c>
    </row>
    <row r="9" spans="1:7" x14ac:dyDescent="0.2">
      <c r="A9" s="5">
        <f>counts!E9/counts!D9</f>
        <v>0.97989949748743721</v>
      </c>
      <c r="B9" s="5">
        <f>counts!G9/counts!F9</f>
        <v>0.98706896551724133</v>
      </c>
      <c r="C9" s="5">
        <f>counts!I9/counts!H9</f>
        <v>0.99640287769784175</v>
      </c>
      <c r="D9" s="5">
        <f>counts!K9/counts!J9</f>
        <v>0.94285714285714284</v>
      </c>
      <c r="E9" s="5">
        <f>counts!M9/counts!L9</f>
        <v>0.77205882352941169</v>
      </c>
      <c r="F9" s="5">
        <f>counts!O9/counts!N9</f>
        <v>0.57950530035335701</v>
      </c>
      <c r="G9" s="5">
        <f>counts!Q9/counts!P9</f>
        <v>8.7999999999999995E-2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viability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Greene, Jacob</dc:creator>
  <cp:lastModifiedBy>Greene, Jacob</cp:lastModifiedBy>
  <dcterms:created xsi:type="dcterms:W3CDTF">2025-02-18T02:54:38Z</dcterms:created>
  <dcterms:modified xsi:type="dcterms:W3CDTF">2026-07-13T19:21:15Z</dcterms:modified>
</cp:coreProperties>
</file>